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<sst xmlns="http://schemas.openxmlformats.org/spreadsheetml/2006/main" count="7" uniqueCount="5">
  <si>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 xml:space="preserve">Max Speed</t>
  </si>
  <si>
    <t xml:space="preserve">Range</t>
  </si>
  <si>
    <t xml:space="preserve">Envelope</t>
  </si>
  <si>
    <t xml:space="preserve">Speed</t>
  </si>
  <si>
    <t xml:space="preserve">Thrust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</si>
</sst>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38"/>
    </font>
    <font>
      <b val="true"/>
      <sz val="13"/>
      <color rgb="FF44546A"/>
      <name val="Calibri"/>
      <family val="2"/>
      <charset val="238"/>
    </font>
    <font>
      <sz val="11"/>
      <color rgb="FF006100"/>
      <name val="Calibri"/>
      <family val="2"/>
      <charset val="238"/>
    </font>
    <font>
      <b val="true"/>
      <sz val="11"/>
      <color rgb="FFFA7D00"/>
      <name val="Calibri"/>
      <family val="2"/>
      <charset val="238"/>
    </font>
    <font>
      <b val="true"/>
      <sz val="11"/>
      <color rgb="FF3F3F3F"/>
      <name val="Calibri"/>
      <family val="2"/>
      <charset val="238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2F2F2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A1B8E1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2" applyFont="true" applyBorder="true" applyAlignment="true" applyProtection="false">
      <alignment horizontal="general" vertical="bottom" textRotation="0" wrapText="false" indent="0" shrinkToFit="false"/>
    </xf>
    <xf numFmtId="164" fontId="8" fillId="3" borderId="3" applyFont="true" applyBorder="tru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3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Heading 2" xfId="20" builtinId="53" customBuiltin="true"/>
    <cellStyle name="Excel Built-in Good" xfId="21" builtinId="53" customBuiltin="true"/>
    <cellStyle name="Excel Built-in Calculation" xfId="22" builtinId="53" customBuiltin="true"/>
    <cellStyle name="Excel Built-in Output" xfId="23" builtinId="53" customBuiltin="true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A1B8E1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A7D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Envelope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"Speed"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Arkusz1!$C$25:$C$45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Arkusz1!$B$25:$B$45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0.2</c:v>
                </c:pt>
                <c:pt idx="3">
                  <c:v>0.46</c:v>
                </c:pt>
                <c:pt idx="4">
                  <c:v>1.2</c:v>
                </c:pt>
                <c:pt idx="5">
                  <c:v>1.4</c:v>
                </c:pt>
                <c:pt idx="6">
                  <c:v>2.1</c:v>
                </c:pt>
                <c:pt idx="7">
                  <c:v>2.4</c:v>
                </c:pt>
                <c:pt idx="8">
                  <c:v>2.88</c:v>
                </c:pt>
                <c:pt idx="9">
                  <c:v>3.65</c:v>
                </c:pt>
                <c:pt idx="10">
                  <c:v>4.5</c:v>
                </c:pt>
                <c:pt idx="11">
                  <c:v>5.45</c:v>
                </c:pt>
                <c:pt idx="12">
                  <c:v>6.48</c:v>
                </c:pt>
                <c:pt idx="13">
                  <c:v>7.61</c:v>
                </c:pt>
                <c:pt idx="14">
                  <c:v>8.1</c:v>
                </c:pt>
                <c:pt idx="15">
                  <c:v>8.3</c:v>
                </c:pt>
                <c:pt idx="16">
                  <c:v>8.4</c:v>
                </c:pt>
                <c:pt idx="17">
                  <c:v>8.3</c:v>
                </c:pt>
                <c:pt idx="18">
                  <c:v>8</c:v>
                </c:pt>
                <c:pt idx="19">
                  <c:v>7.6</c:v>
                </c:pt>
                <c:pt idx="20">
                  <c:v>7</c:v>
                </c:pt>
              </c:numCache>
            </c:numRef>
          </c:yVal>
          <c:smooth val="1"/>
        </c:ser>
        <c:axId val="22690915"/>
        <c:axId val="46413023"/>
      </c:scatterChart>
      <c:valAx>
        <c:axId val="2269091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413023"/>
        <c:crosses val="autoZero"/>
        <c:crossBetween val="midCat"/>
      </c:valAx>
      <c:valAx>
        <c:axId val="464130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690915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Thrust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"Speed"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Arkusz1!$N$25:$N$41</c:f>
              <c:numCache>
                <c:formatCode>General</c:formatCode>
                <c:ptCount val="17"/>
                <c:pt idx="0">
                  <c:v>0</c:v>
                </c:pt>
                <c:pt idx="1">
                  <c:v>75</c:v>
                </c:pt>
                <c:pt idx="2">
                  <c:v>150</c:v>
                </c:pt>
                <c:pt idx="3">
                  <c:v>225</c:v>
                </c:pt>
                <c:pt idx="4">
                  <c:v>300</c:v>
                </c:pt>
                <c:pt idx="5">
                  <c:v>375</c:v>
                </c:pt>
                <c:pt idx="6">
                  <c:v>450</c:v>
                </c:pt>
                <c:pt idx="7">
                  <c:v>525</c:v>
                </c:pt>
                <c:pt idx="8">
                  <c:v>600</c:v>
                </c:pt>
                <c:pt idx="9">
                  <c:v>675</c:v>
                </c:pt>
                <c:pt idx="10">
                  <c:v>750</c:v>
                </c:pt>
                <c:pt idx="11">
                  <c:v>825</c:v>
                </c:pt>
                <c:pt idx="12">
                  <c:v>900</c:v>
                </c:pt>
                <c:pt idx="13">
                  <c:v>975</c:v>
                </c:pt>
                <c:pt idx="14">
                  <c:v>1050</c:v>
                </c:pt>
                <c:pt idx="15">
                  <c:v>1125</c:v>
                </c:pt>
                <c:pt idx="16">
                  <c:v>1200</c:v>
                </c:pt>
              </c:numCache>
            </c:numRef>
          </c:xVal>
          <c:yVal>
            <c:numRef>
              <c:f>Arkusz1!$M$25:$M$41</c:f>
              <c:numCache>
                <c:formatCode>General</c:formatCode>
                <c:ptCount val="17"/>
                <c:pt idx="0">
                  <c:v>1.22</c:v>
                </c:pt>
                <c:pt idx="1">
                  <c:v>1.28</c:v>
                </c:pt>
                <c:pt idx="2">
                  <c:v>1.34</c:v>
                </c:pt>
                <c:pt idx="3">
                  <c:v>1.35</c:v>
                </c:pt>
                <c:pt idx="4">
                  <c:v>1.35</c:v>
                </c:pt>
                <c:pt idx="5">
                  <c:v>1.4</c:v>
                </c:pt>
                <c:pt idx="6">
                  <c:v>1.49</c:v>
                </c:pt>
                <c:pt idx="7">
                  <c:v>1.01</c:v>
                </c:pt>
                <c:pt idx="8">
                  <c:v>0.57</c:v>
                </c:pt>
                <c:pt idx="9">
                  <c:v>0.37</c:v>
                </c:pt>
                <c:pt idx="10">
                  <c:v>0.26</c:v>
                </c:pt>
                <c:pt idx="11">
                  <c:v>0.16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23893062"/>
        <c:axId val="29956122"/>
      </c:scatterChart>
      <c:valAx>
        <c:axId val="2389306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956122"/>
        <c:crosses val="autoZero"/>
        <c:crossBetween val="midCat"/>
      </c:valAx>
      <c:valAx>
        <c:axId val="299561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893062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133200</xdr:colOff>
      <xdr:row>22</xdr:row>
      <xdr:rowOff>157320</xdr:rowOff>
    </xdr:from>
    <xdr:to>
      <xdr:col>10</xdr:col>
      <xdr:colOff>437760</xdr:colOff>
      <xdr:row>35</xdr:row>
      <xdr:rowOff>176040</xdr:rowOff>
    </xdr:to>
    <xdr:graphicFrame>
      <xdr:nvGraphicFramePr>
        <xdr:cNvPr id="0" name="Wykres 1"/>
        <xdr:cNvGraphicFramePr/>
      </xdr:nvGraphicFramePr>
      <xdr:xfrm>
        <a:off x="2529000" y="4348080"/>
        <a:ext cx="45892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257760</xdr:colOff>
      <xdr:row>22</xdr:row>
      <xdr:rowOff>168120</xdr:rowOff>
    </xdr:from>
    <xdr:to>
      <xdr:col>21</xdr:col>
      <xdr:colOff>562320</xdr:colOff>
      <xdr:row>35</xdr:row>
      <xdr:rowOff>186840</xdr:rowOff>
    </xdr:to>
    <xdr:graphicFrame>
      <xdr:nvGraphicFramePr>
        <xdr:cNvPr id="1" name="Wykres 2"/>
        <xdr:cNvGraphicFramePr/>
      </xdr:nvGraphicFramePr>
      <xdr:xfrm>
        <a:off x="9387000" y="4358880"/>
        <a:ext cx="4589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N4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0" activeCellId="0" sqref="M20"/>
    </sheetView>
  </sheetViews>
  <sheetFormatPr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3.29"/>
    <col collapsed="false" customWidth="true" hidden="false" outlineLevel="0" max="1025" min="3" style="0" width="8.67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0" t="n">
        <v>800</v>
      </c>
    </row>
    <row r="24" customFormat="false" ht="18" hidden="false" customHeight="false" outlineLevel="0" collapsed="false">
      <c r="A24" s="2" t="s">
        <v>1</v>
      </c>
      <c r="B24" s="2" t="s">
        <v>2</v>
      </c>
      <c r="C24" s="2" t="s">
        <v>3</v>
      </c>
      <c r="L24" s="2" t="s">
        <v>1</v>
      </c>
      <c r="M24" s="2" t="s">
        <v>4</v>
      </c>
      <c r="N24" s="2" t="s">
        <v>3</v>
      </c>
    </row>
    <row r="25" customFormat="false" ht="16.5" hidden="false" customHeight="false" outlineLevel="0" collapsed="false">
      <c r="A25" s="3" t="n">
        <f aca="false">0</f>
        <v>0</v>
      </c>
      <c r="B25" s="4" t="n">
        <v>0</v>
      </c>
      <c r="C25" s="5" t="n">
        <f aca="false">$B$3*A25</f>
        <v>0</v>
      </c>
      <c r="L25" s="3" t="n">
        <f aca="false">0</f>
        <v>0</v>
      </c>
      <c r="M25" s="0" t="n">
        <v>1.22</v>
      </c>
      <c r="N25" s="5" t="n">
        <f aca="false">$B$3*L25</f>
        <v>0</v>
      </c>
    </row>
    <row r="26" customFormat="false" ht="16.5" hidden="false" customHeight="false" outlineLevel="0" collapsed="false">
      <c r="A26" s="3" t="n">
        <f aca="false">A25+125/ROWS(A26:A45)</f>
        <v>6.25</v>
      </c>
      <c r="B26" s="4" t="n">
        <v>0.05</v>
      </c>
      <c r="C26" s="5" t="n">
        <f aca="false">$B$3*A26/100</f>
        <v>50</v>
      </c>
      <c r="L26" s="3" t="n">
        <f aca="false">L25+150/ROWS(L26:L41)</f>
        <v>9.375</v>
      </c>
      <c r="M26" s="0" t="n">
        <v>1.28</v>
      </c>
      <c r="N26" s="5" t="n">
        <f aca="false">$B$3*L26/100</f>
        <v>75</v>
      </c>
    </row>
    <row r="27" customFormat="false" ht="16.5" hidden="false" customHeight="false" outlineLevel="0" collapsed="false">
      <c r="A27" s="3" t="n">
        <f aca="false">A26+125/ROWS(A27:A46)</f>
        <v>12.5</v>
      </c>
      <c r="B27" s="4" t="n">
        <v>0.2</v>
      </c>
      <c r="C27" s="5" t="n">
        <f aca="false">$B$3*A27/100</f>
        <v>100</v>
      </c>
      <c r="L27" s="3" t="n">
        <f aca="false">L26+150/ROWS(O27:O42)</f>
        <v>18.75</v>
      </c>
      <c r="M27" s="0" t="n">
        <v>1.34</v>
      </c>
      <c r="N27" s="5" t="n">
        <f aca="false">$B$3*L27/100</f>
        <v>150</v>
      </c>
    </row>
    <row r="28" customFormat="false" ht="16.5" hidden="false" customHeight="false" outlineLevel="0" collapsed="false">
      <c r="A28" s="3" t="n">
        <f aca="false">A27+125/ROWS(A28:A47)</f>
        <v>18.75</v>
      </c>
      <c r="B28" s="4" t="n">
        <v>0.46</v>
      </c>
      <c r="C28" s="5" t="n">
        <f aca="false">$B$3*A28/100</f>
        <v>150</v>
      </c>
      <c r="L28" s="3" t="n">
        <f aca="false">L27+150/ROWS(O28:O43)</f>
        <v>28.125</v>
      </c>
      <c r="M28" s="0" t="n">
        <v>1.35</v>
      </c>
      <c r="N28" s="5" t="n">
        <f aca="false">$B$3*L28/100</f>
        <v>225</v>
      </c>
    </row>
    <row r="29" customFormat="false" ht="16.5" hidden="false" customHeight="false" outlineLevel="0" collapsed="false">
      <c r="A29" s="3" t="n">
        <f aca="false">A28+125/ROWS(A29:A48)</f>
        <v>25</v>
      </c>
      <c r="B29" s="4" t="n">
        <v>1.2</v>
      </c>
      <c r="C29" s="5" t="n">
        <f aca="false">$B$3*A29/100</f>
        <v>200</v>
      </c>
      <c r="L29" s="3" t="n">
        <f aca="false">L28+150/ROWS(O29:O44)</f>
        <v>37.5</v>
      </c>
      <c r="M29" s="0" t="n">
        <v>1.35</v>
      </c>
      <c r="N29" s="5" t="n">
        <f aca="false">$B$3*L29/100</f>
        <v>300</v>
      </c>
    </row>
    <row r="30" customFormat="false" ht="16.5" hidden="false" customHeight="false" outlineLevel="0" collapsed="false">
      <c r="A30" s="3" t="n">
        <f aca="false">A29+125/ROWS(A30:A49)</f>
        <v>31.25</v>
      </c>
      <c r="B30" s="4" t="n">
        <v>1.4</v>
      </c>
      <c r="C30" s="5" t="n">
        <f aca="false">$B$3*A30/100</f>
        <v>250</v>
      </c>
      <c r="L30" s="3" t="n">
        <f aca="false">L29+150/ROWS(O30:O45)</f>
        <v>46.875</v>
      </c>
      <c r="M30" s="0" t="n">
        <v>1.4</v>
      </c>
      <c r="N30" s="5" t="n">
        <f aca="false">$B$3*L30/100</f>
        <v>375</v>
      </c>
    </row>
    <row r="31" customFormat="false" ht="16.5" hidden="false" customHeight="false" outlineLevel="0" collapsed="false">
      <c r="A31" s="3" t="n">
        <f aca="false">A30+125/ROWS(A31:A50)</f>
        <v>37.5</v>
      </c>
      <c r="B31" s="4" t="n">
        <v>2.1</v>
      </c>
      <c r="C31" s="5" t="n">
        <f aca="false">$B$3*A31/100</f>
        <v>300</v>
      </c>
      <c r="L31" s="3" t="n">
        <f aca="false">L30+150/ROWS(O31:O46)</f>
        <v>56.25</v>
      </c>
      <c r="M31" s="0" t="n">
        <v>1.49</v>
      </c>
      <c r="N31" s="5" t="n">
        <f aca="false">$B$3*L31/100</f>
        <v>450</v>
      </c>
    </row>
    <row r="32" customFormat="false" ht="16.5" hidden="false" customHeight="false" outlineLevel="0" collapsed="false">
      <c r="A32" s="3" t="n">
        <f aca="false">A31+125/ROWS(A32:A51)</f>
        <v>43.75</v>
      </c>
      <c r="B32" s="4" t="n">
        <v>2.4</v>
      </c>
      <c r="C32" s="5" t="n">
        <f aca="false">$B$3*A32/100</f>
        <v>350</v>
      </c>
      <c r="L32" s="3" t="n">
        <f aca="false">L31+150/ROWS(O32:O47)</f>
        <v>65.625</v>
      </c>
      <c r="M32" s="0" t="n">
        <v>1.01</v>
      </c>
      <c r="N32" s="5" t="n">
        <f aca="false">$B$3*L32/100</f>
        <v>525</v>
      </c>
    </row>
    <row r="33" customFormat="false" ht="16.5" hidden="false" customHeight="false" outlineLevel="0" collapsed="false">
      <c r="A33" s="3" t="n">
        <f aca="false">A32+125/ROWS(A33:A52)</f>
        <v>50</v>
      </c>
      <c r="B33" s="4" t="n">
        <v>2.88</v>
      </c>
      <c r="C33" s="5" t="n">
        <f aca="false">$B$3*A33/100</f>
        <v>400</v>
      </c>
      <c r="L33" s="3" t="n">
        <f aca="false">L32+150/ROWS(O33:O48)</f>
        <v>75</v>
      </c>
      <c r="M33" s="0" t="n">
        <v>0.57</v>
      </c>
      <c r="N33" s="5" t="n">
        <f aca="false">$B$3*L33/100</f>
        <v>600</v>
      </c>
    </row>
    <row r="34" customFormat="false" ht="16.5" hidden="false" customHeight="false" outlineLevel="0" collapsed="false">
      <c r="A34" s="3" t="n">
        <f aca="false">A33+125/ROWS(A34:A53)</f>
        <v>56.25</v>
      </c>
      <c r="B34" s="4" t="n">
        <v>3.65</v>
      </c>
      <c r="C34" s="5" t="n">
        <f aca="false">$B$3*A34/100</f>
        <v>450</v>
      </c>
      <c r="L34" s="3" t="n">
        <f aca="false">L33+150/ROWS(O34:O49)</f>
        <v>84.375</v>
      </c>
      <c r="M34" s="0" t="n">
        <v>0.37</v>
      </c>
      <c r="N34" s="5" t="n">
        <f aca="false">$B$3*L34/100</f>
        <v>675</v>
      </c>
    </row>
    <row r="35" customFormat="false" ht="16.5" hidden="false" customHeight="false" outlineLevel="0" collapsed="false">
      <c r="A35" s="3" t="n">
        <f aca="false">A34+125/ROWS(A35:A54)</f>
        <v>62.5</v>
      </c>
      <c r="B35" s="4" t="n">
        <v>4.5</v>
      </c>
      <c r="C35" s="5" t="n">
        <f aca="false">$B$3*A35/100</f>
        <v>500</v>
      </c>
      <c r="L35" s="3" t="n">
        <f aca="false">L34+150/ROWS(O35:O50)</f>
        <v>93.75</v>
      </c>
      <c r="M35" s="0" t="n">
        <v>0.26</v>
      </c>
      <c r="N35" s="5" t="n">
        <f aca="false">$B$3*L35/100</f>
        <v>750</v>
      </c>
    </row>
    <row r="36" customFormat="false" ht="16.5" hidden="false" customHeight="false" outlineLevel="0" collapsed="false">
      <c r="A36" s="3" t="n">
        <f aca="false">A35+125/ROWS(A36:A55)</f>
        <v>68.75</v>
      </c>
      <c r="B36" s="4" t="n">
        <v>5.45</v>
      </c>
      <c r="C36" s="5" t="n">
        <f aca="false">$B$3*A36/100</f>
        <v>550</v>
      </c>
      <c r="L36" s="3" t="n">
        <f aca="false">L35+150/ROWS(O36:O51)</f>
        <v>103.125</v>
      </c>
      <c r="M36" s="0" t="n">
        <v>0.16</v>
      </c>
      <c r="N36" s="5" t="n">
        <f aca="false">$B$3*L36/100</f>
        <v>825</v>
      </c>
    </row>
    <row r="37" customFormat="false" ht="16.5" hidden="false" customHeight="false" outlineLevel="0" collapsed="false">
      <c r="A37" s="3" t="n">
        <f aca="false">A36+125/ROWS(A37:A56)</f>
        <v>75</v>
      </c>
      <c r="B37" s="4" t="n">
        <v>6.48</v>
      </c>
      <c r="C37" s="5" t="n">
        <f aca="false">$B$3*A37/100</f>
        <v>600</v>
      </c>
      <c r="L37" s="3" t="n">
        <f aca="false">L36+150/ROWS(O37:O52)</f>
        <v>112.5</v>
      </c>
      <c r="M37" s="0" t="n">
        <v>0.1</v>
      </c>
      <c r="N37" s="5" t="n">
        <f aca="false">$B$3*L37/100</f>
        <v>900</v>
      </c>
    </row>
    <row r="38" customFormat="false" ht="16.5" hidden="false" customHeight="false" outlineLevel="0" collapsed="false">
      <c r="A38" s="3" t="n">
        <f aca="false">A37+125/ROWS(A38:A57)</f>
        <v>81.25</v>
      </c>
      <c r="B38" s="4" t="n">
        <v>7.61</v>
      </c>
      <c r="C38" s="5" t="n">
        <f aca="false">$B$3*A38/100</f>
        <v>650</v>
      </c>
      <c r="L38" s="3" t="n">
        <f aca="false">L37+150/ROWS(O38:O53)</f>
        <v>121.875</v>
      </c>
      <c r="M38" s="0" t="n">
        <v>0</v>
      </c>
      <c r="N38" s="5" t="n">
        <f aca="false">$B$3*L38/100</f>
        <v>975</v>
      </c>
    </row>
    <row r="39" customFormat="false" ht="16.5" hidden="false" customHeight="false" outlineLevel="0" collapsed="false">
      <c r="A39" s="3" t="n">
        <f aca="false">A38+125/ROWS(A39:A58)</f>
        <v>87.5</v>
      </c>
      <c r="B39" s="4" t="n">
        <v>8.1</v>
      </c>
      <c r="C39" s="5" t="n">
        <f aca="false">$B$3*A39/100</f>
        <v>700</v>
      </c>
      <c r="L39" s="3" t="n">
        <f aca="false">L38+150/ROWS(O39:O54)</f>
        <v>131.25</v>
      </c>
      <c r="M39" s="0" t="n">
        <v>0</v>
      </c>
      <c r="N39" s="5" t="n">
        <f aca="false">$B$3*L39/100</f>
        <v>1050</v>
      </c>
    </row>
    <row r="40" customFormat="false" ht="16.5" hidden="false" customHeight="false" outlineLevel="0" collapsed="false">
      <c r="A40" s="3" t="n">
        <f aca="false">A39+125/ROWS(A40:A59)</f>
        <v>93.75</v>
      </c>
      <c r="B40" s="4" t="n">
        <v>8.3</v>
      </c>
      <c r="C40" s="5" t="n">
        <f aca="false">$B$3*A40/100</f>
        <v>750</v>
      </c>
      <c r="L40" s="3" t="n">
        <f aca="false">L39+150/ROWS(O40:O55)</f>
        <v>140.625</v>
      </c>
      <c r="M40" s="0" t="n">
        <v>0</v>
      </c>
      <c r="N40" s="5" t="n">
        <f aca="false">$B$3*L40/100</f>
        <v>1125</v>
      </c>
    </row>
    <row r="41" customFormat="false" ht="16.5" hidden="false" customHeight="false" outlineLevel="0" collapsed="false">
      <c r="A41" s="3" t="n">
        <f aca="false">A40+125/ROWS(A41:A60)</f>
        <v>100</v>
      </c>
      <c r="B41" s="4" t="n">
        <v>8.4</v>
      </c>
      <c r="C41" s="5" t="n">
        <f aca="false">$B$3*A41/100</f>
        <v>800</v>
      </c>
      <c r="L41" s="3" t="n">
        <f aca="false">L40+150/ROWS(O41:O56)</f>
        <v>150</v>
      </c>
      <c r="M41" s="0" t="n">
        <v>0</v>
      </c>
      <c r="N41" s="5" t="n">
        <f aca="false">$B$3*L41/100</f>
        <v>1200</v>
      </c>
    </row>
    <row r="42" customFormat="false" ht="16.5" hidden="false" customHeight="false" outlineLevel="0" collapsed="false">
      <c r="A42" s="3" t="n">
        <f aca="false">A41+125/ROWS(A42:A61)</f>
        <v>106.25</v>
      </c>
      <c r="B42" s="4" t="n">
        <v>8.3</v>
      </c>
      <c r="C42" s="5" t="n">
        <f aca="false">$B$3*A42/100</f>
        <v>850</v>
      </c>
    </row>
    <row r="43" customFormat="false" ht="16.5" hidden="false" customHeight="false" outlineLevel="0" collapsed="false">
      <c r="A43" s="3" t="n">
        <f aca="false">A42+125/ROWS(A43:A62)</f>
        <v>112.5</v>
      </c>
      <c r="B43" s="4" t="n">
        <v>8</v>
      </c>
      <c r="C43" s="5" t="n">
        <f aca="false">$B$3*A43/100</f>
        <v>900</v>
      </c>
    </row>
    <row r="44" customFormat="false" ht="16.5" hidden="false" customHeight="false" outlineLevel="0" collapsed="false">
      <c r="A44" s="3" t="n">
        <f aca="false">A43+125/ROWS(A44:A63)</f>
        <v>118.75</v>
      </c>
      <c r="B44" s="4" t="n">
        <v>7.6</v>
      </c>
      <c r="C44" s="5" t="n">
        <f aca="false">$B$3*A44/100</f>
        <v>950</v>
      </c>
    </row>
    <row r="45" customFormat="false" ht="16.5" hidden="false" customHeight="false" outlineLevel="0" collapsed="false">
      <c r="A45" s="3" t="n">
        <f aca="false">A44+125/ROWS(A45:A64)</f>
        <v>125</v>
      </c>
      <c r="B45" s="4" t="n">
        <v>7</v>
      </c>
      <c r="C45" s="5" t="n">
        <f aca="false">$B$3*A45/100</f>
        <v>1000</v>
      </c>
    </row>
    <row r="46" customFormat="fals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LibreOffice/5.4.3.2$Windows_X86_64 LibreOffice_project/92a7159f7e4af62137622921e809f8546db437e5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2019-09-26T19:22:04Z</dcterms:created>
  <dc:creator>Florian Anfiertjew</dc:creator>
  <dc:description/>
  <dc:language>pl-PL</dc:language>
  <cp:lastModifiedBy/>
  <dcterms:modified xsi:type="dcterms:W3CDTF">2019-09-27T10:11:42Z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